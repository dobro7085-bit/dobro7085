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감액량분석프로그램\"/>
    </mc:Choice>
  </mc:AlternateContent>
  <xr:revisionPtr revIDLastSave="0" documentId="13_ncr:1_{44E03329-5FB5-4334-B542-49B0FD4852C6}" xr6:coauthVersionLast="36" xr6:coauthVersionMax="36" xr10:uidLastSave="{00000000-0000-0000-0000-000000000000}"/>
  <bookViews>
    <workbookView xWindow="0" yWindow="0" windowWidth="24930" windowHeight="12030" xr2:uid="{D0F644BB-014D-4B25-A703-4DE531DAE668}"/>
  </bookViews>
  <sheets>
    <sheet name="감액량_22112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1" l="1"/>
  <c r="F46" i="1"/>
  <c r="E46" i="1"/>
  <c r="G39" i="1"/>
  <c r="F39" i="1"/>
  <c r="E39" i="1"/>
  <c r="G30" i="1"/>
  <c r="F30" i="1"/>
  <c r="E30" i="1"/>
  <c r="G18" i="1"/>
  <c r="F18" i="1"/>
  <c r="E18" i="1"/>
  <c r="G49" i="1" l="1"/>
  <c r="F49" i="1"/>
  <c r="E49" i="1"/>
  <c r="G48" i="1"/>
  <c r="F48" i="1"/>
  <c r="E48" i="1"/>
  <c r="G47" i="1"/>
  <c r="F47" i="1"/>
  <c r="E47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0" i="1"/>
  <c r="F20" i="1"/>
  <c r="E20" i="1"/>
  <c r="G19" i="1"/>
  <c r="F19" i="1"/>
  <c r="E19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  <c r="G3" i="1"/>
  <c r="F3" i="1"/>
  <c r="E3" i="1"/>
</calcChain>
</file>

<file path=xl/sharedStrings.xml><?xml version="1.0" encoding="utf-8"?>
<sst xmlns="http://schemas.openxmlformats.org/spreadsheetml/2006/main" count="168" uniqueCount="86">
  <si>
    <t>AGM 감액량 Spec.</t>
    <phoneticPr fontId="2" type="noConversion"/>
  </si>
  <si>
    <t>단위 : g</t>
    <phoneticPr fontId="2" type="noConversion"/>
  </si>
  <si>
    <t>형명</t>
    <phoneticPr fontId="2" type="noConversion"/>
  </si>
  <si>
    <t>감액량</t>
    <phoneticPr fontId="2" type="noConversion"/>
  </si>
  <si>
    <t>±</t>
    <phoneticPr fontId="2" type="noConversion"/>
  </si>
  <si>
    <t>공차</t>
    <phoneticPr fontId="2" type="noConversion"/>
  </si>
  <si>
    <t>상한규격</t>
    <phoneticPr fontId="2" type="noConversion"/>
  </si>
  <si>
    <t>중심규격</t>
    <phoneticPr fontId="2" type="noConversion"/>
  </si>
  <si>
    <t>하한규격</t>
    <phoneticPr fontId="2" type="noConversion"/>
  </si>
  <si>
    <t>바이어</t>
    <phoneticPr fontId="2" type="noConversion"/>
  </si>
  <si>
    <t>AGM50_H3</t>
    <phoneticPr fontId="2" type="noConversion"/>
  </si>
  <si>
    <t>OE (현대, 기아)</t>
    <phoneticPr fontId="2" type="noConversion"/>
  </si>
  <si>
    <t>AGM60_A3</t>
    <phoneticPr fontId="2" type="noConversion"/>
  </si>
  <si>
    <t>A/M (보수용)</t>
    <phoneticPr fontId="2" type="noConversion"/>
  </si>
  <si>
    <t>AGM60_A1</t>
    <phoneticPr fontId="2" type="noConversion"/>
  </si>
  <si>
    <t>1세대 극판 (H&amp;V)</t>
    <phoneticPr fontId="2" type="noConversion"/>
  </si>
  <si>
    <t>25-04-17 변경</t>
    <phoneticPr fontId="2" type="noConversion"/>
  </si>
  <si>
    <t>AGM60_Y1</t>
    <phoneticPr fontId="2" type="noConversion"/>
  </si>
  <si>
    <t>1세대 극판 (Yingkou)</t>
    <phoneticPr fontId="2" type="noConversion"/>
  </si>
  <si>
    <t>25-07-07 추가</t>
    <phoneticPr fontId="2" type="noConversion"/>
  </si>
  <si>
    <t>AGM60_B3 / S3</t>
    <phoneticPr fontId="2" type="noConversion"/>
  </si>
  <si>
    <t>BMW (EU / USA)</t>
    <phoneticPr fontId="2" type="noConversion"/>
  </si>
  <si>
    <t>AGM60_D3</t>
    <phoneticPr fontId="2" type="noConversion"/>
  </si>
  <si>
    <t>GM수출</t>
    <phoneticPr fontId="2" type="noConversion"/>
  </si>
  <si>
    <t>AGM60_G3</t>
    <phoneticPr fontId="2" type="noConversion"/>
  </si>
  <si>
    <t>GM_ACDELCO</t>
    <phoneticPr fontId="2" type="noConversion"/>
  </si>
  <si>
    <t>AGM60_H3</t>
    <phoneticPr fontId="2" type="noConversion"/>
  </si>
  <si>
    <t>OE (현대, 기아), YBS</t>
    <phoneticPr fontId="2" type="noConversion"/>
  </si>
  <si>
    <t>AGM60_Y3</t>
    <phoneticPr fontId="2" type="noConversion"/>
  </si>
  <si>
    <t>A/S 전체 (제외 : OE, YBS, BANNER)</t>
    <phoneticPr fontId="2" type="noConversion"/>
  </si>
  <si>
    <t>AGM60_V3</t>
    <phoneticPr fontId="2" type="noConversion"/>
  </si>
  <si>
    <t>현대向 전기차용</t>
    <phoneticPr fontId="2" type="noConversion"/>
  </si>
  <si>
    <t>AGM60_C3</t>
    <phoneticPr fontId="2" type="noConversion"/>
  </si>
  <si>
    <t>High CCA용</t>
    <phoneticPr fontId="2" type="noConversion"/>
  </si>
  <si>
    <t>AGM60_Z3</t>
    <phoneticPr fontId="2" type="noConversion"/>
  </si>
  <si>
    <t>CCA 개선품 임시사양</t>
    <phoneticPr fontId="2" type="noConversion"/>
  </si>
  <si>
    <t>25-04-04 변경</t>
    <phoneticPr fontId="2" type="noConversion"/>
  </si>
  <si>
    <t>AGM70_A3</t>
    <phoneticPr fontId="2" type="noConversion"/>
  </si>
  <si>
    <t>AGM70_A1</t>
    <phoneticPr fontId="2" type="noConversion"/>
  </si>
  <si>
    <t>25-04-22 변경</t>
    <phoneticPr fontId="2" type="noConversion"/>
  </si>
  <si>
    <t>AGM70_Y1</t>
    <phoneticPr fontId="2" type="noConversion"/>
  </si>
  <si>
    <t>25-03-19 추가</t>
    <phoneticPr fontId="2" type="noConversion"/>
  </si>
  <si>
    <t>AGM70_D3</t>
    <phoneticPr fontId="2" type="noConversion"/>
  </si>
  <si>
    <t>YBS, GM수출</t>
    <phoneticPr fontId="2" type="noConversion"/>
  </si>
  <si>
    <t>4라인 임시사양 →</t>
    <phoneticPr fontId="2" type="noConversion"/>
  </si>
  <si>
    <t>2023-06-15 추가</t>
    <phoneticPr fontId="2" type="noConversion"/>
  </si>
  <si>
    <t>AGM70_G3</t>
  </si>
  <si>
    <t>±</t>
  </si>
  <si>
    <t>GM_ACDELCO</t>
  </si>
  <si>
    <t>AGM70_H3</t>
    <phoneticPr fontId="2" type="noConversion"/>
  </si>
  <si>
    <t>AGM70_Y3</t>
    <phoneticPr fontId="2" type="noConversion"/>
  </si>
  <si>
    <t>AGM70_C3</t>
    <phoneticPr fontId="2" type="noConversion"/>
  </si>
  <si>
    <t>BCI24_C3</t>
    <phoneticPr fontId="2" type="noConversion"/>
  </si>
  <si>
    <t>BCI24 차량용</t>
    <phoneticPr fontId="2" type="noConversion"/>
  </si>
  <si>
    <t>26-01-13 추가</t>
    <phoneticPr fontId="2" type="noConversion"/>
  </si>
  <si>
    <t>AGM80_A3</t>
    <phoneticPr fontId="2" type="noConversion"/>
  </si>
  <si>
    <t>AGM80_A1</t>
    <phoneticPr fontId="2" type="noConversion"/>
  </si>
  <si>
    <t>AGM80_Y1</t>
    <phoneticPr fontId="2" type="noConversion"/>
  </si>
  <si>
    <t>AGM80_D3</t>
    <phoneticPr fontId="2" type="noConversion"/>
  </si>
  <si>
    <t>AGM80_H3</t>
    <phoneticPr fontId="2" type="noConversion"/>
  </si>
  <si>
    <t>AGM80_Y3</t>
    <phoneticPr fontId="2" type="noConversion"/>
  </si>
  <si>
    <t>AGM80_C3</t>
    <phoneticPr fontId="2" type="noConversion"/>
  </si>
  <si>
    <t>AGM80_Z3</t>
    <phoneticPr fontId="2" type="noConversion"/>
  </si>
  <si>
    <t>AGM90_A3</t>
    <phoneticPr fontId="2" type="noConversion"/>
  </si>
  <si>
    <t>AGM90_Y1</t>
    <phoneticPr fontId="2" type="noConversion"/>
  </si>
  <si>
    <t>AGM90_D3</t>
    <phoneticPr fontId="2" type="noConversion"/>
  </si>
  <si>
    <t>AGM90_H3</t>
    <phoneticPr fontId="2" type="noConversion"/>
  </si>
  <si>
    <t>AGM90_C3</t>
    <phoneticPr fontId="2" type="noConversion"/>
  </si>
  <si>
    <t>BOSCH USA</t>
    <phoneticPr fontId="2" type="noConversion"/>
  </si>
  <si>
    <t>26-03-04 추가</t>
    <phoneticPr fontId="2" type="noConversion"/>
  </si>
  <si>
    <t>AGM105_A3</t>
    <phoneticPr fontId="2" type="noConversion"/>
  </si>
  <si>
    <t>AGM105_Y1</t>
    <phoneticPr fontId="2" type="noConversion"/>
  </si>
  <si>
    <t>25-05-07 변경</t>
    <phoneticPr fontId="2" type="noConversion"/>
  </si>
  <si>
    <t>AGM105_D3</t>
    <phoneticPr fontId="2" type="noConversion"/>
  </si>
  <si>
    <t>AGM105_H3</t>
    <phoneticPr fontId="2" type="noConversion"/>
  </si>
  <si>
    <t>OE (현대, 기아), BOSCH USA</t>
    <phoneticPr fontId="2" type="noConversion"/>
  </si>
  <si>
    <t>AGM105_C3</t>
    <phoneticPr fontId="2" type="noConversion"/>
  </si>
  <si>
    <t>???</t>
    <phoneticPr fontId="2" type="noConversion"/>
  </si>
  <si>
    <t>AGM70_B3</t>
    <phoneticPr fontId="2" type="noConversion"/>
  </si>
  <si>
    <t>AGM70_S3</t>
    <phoneticPr fontId="2" type="noConversion"/>
  </si>
  <si>
    <t>AGM80_B3</t>
    <phoneticPr fontId="2" type="noConversion"/>
  </si>
  <si>
    <t>AGM80_S3</t>
    <phoneticPr fontId="2" type="noConversion"/>
  </si>
  <si>
    <t>AGM90_S3</t>
    <phoneticPr fontId="2" type="noConversion"/>
  </si>
  <si>
    <t>AGM90_B3</t>
    <phoneticPr fontId="2" type="noConversion"/>
  </si>
  <si>
    <t>AGM105_B3</t>
    <phoneticPr fontId="2" type="noConversion"/>
  </si>
  <si>
    <t>AGM105_S3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</si>
</sst>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세방고딕 Regular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세방고딕 Regular"/>
      <family val="3"/>
      <charset val="129"/>
    </font>
    <font>
      <b/>
      <sz val="11"/>
      <color theme="1"/>
      <name val="세방고딕 Regular"/>
      <family val="3"/>
      <charset val="129"/>
    </font>
    <font>
      <sz val="11"/>
      <name val="세방고딕 Regular"/>
      <family val="3"/>
      <charset val="129"/>
    </font>
    <font>
      <b/>
      <sz val="11"/>
      <name val="세방고딕 Regular"/>
      <family val="3"/>
      <charset val="129"/>
    </font>
    <font>
      <sz val="11"/>
      <color rgb="FF0000FF"/>
      <name val="세방고딕 Regular"/>
      <family val="3"/>
      <charset val="129"/>
    </font>
    <font>
      <b/>
      <sz val="11"/>
      <color rgb="FF0000FF"/>
      <name val="세방고딕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2" borderId="1" xfId="0" quotePrefix="1" applyFont="1" applyFill="1" applyBorder="1" applyAlignment="1">
      <alignment horizontal="center" vertical="center"/>
    </xf>
    <xf numFmtId="14" fontId="5" fillId="0" borderId="0" xfId="0" applyNumberFormat="1" applyFont="1">
      <alignment vertical="center"/>
    </xf>
    <xf numFmtId="0" fontId="7" fillId="0" borderId="1" xfId="0" applyFont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CDE9-CD7B-453B-9213-4FA947E3B23F}">
  <sheetPr>
    <tabColor rgb="FF00B0F0"/>
    <pageSetUpPr fitToPage="1"/>
  </sheetPr>
  <dimension ref="A1:M49"/>
  <sheetViews>
    <sheetView tabSelected="1" zoomScaleNormal="100" workbookViewId="0">
      <pane ySplit="2" topLeftCell="A3" activePane="bottomLeft" state="frozen"/>
      <selection pane="bottomLeft" activeCell="E10" sqref="E10"/>
    </sheetView>
  </sheetViews>
  <sheetFormatPr defaultRowHeight="15.75" x14ac:dyDescent="0.3"/>
  <cols>
    <col min="1" max="1" width="21.125" style="3" customWidth="1"/>
    <col min="2" max="2" width="11.5" style="2" customWidth="1"/>
    <col min="3" max="3" width="2.75" style="3" customWidth="1"/>
    <col min="4" max="4" width="15.75" style="3" customWidth="1"/>
    <col min="5" max="7" width="9.75" style="2" bestFit="1" customWidth="1"/>
    <col min="8" max="8" width="33.875" style="5" customWidth="1"/>
    <col min="9" max="9" width="14.25" style="5" customWidth="1"/>
    <col min="10" max="12" width="9" style="5"/>
    <col min="13" max="13" width="15.125" style="5" customWidth="1"/>
    <col min="14" max="16384" width="9" style="5"/>
  </cols>
  <sheetData>
    <row r="1" spans="1:13" ht="21.75" x14ac:dyDescent="0.3">
      <c r="A1" s="1" t="s">
        <v>0</v>
      </c>
      <c r="H1" s="4" t="s">
        <v>1</v>
      </c>
    </row>
    <row r="2" spans="1:13" ht="15.95" customHeight="1" x14ac:dyDescent="0.3">
      <c r="A2" s="6" t="s">
        <v>2</v>
      </c>
      <c r="B2" s="7" t="s">
        <v>3</v>
      </c>
      <c r="C2" s="6" t="s">
        <v>4</v>
      </c>
      <c r="D2" s="6" t="s">
        <v>5</v>
      </c>
      <c r="E2" s="7" t="s">
        <v>6</v>
      </c>
      <c r="F2" s="7" t="s">
        <v>7</v>
      </c>
      <c r="G2" s="7" t="s">
        <v>8</v>
      </c>
      <c r="H2" s="6" t="s">
        <v>9</v>
      </c>
    </row>
    <row r="3" spans="1:13" ht="15.95" customHeight="1" x14ac:dyDescent="0.3">
      <c r="A3" s="8" t="s">
        <v>10</v>
      </c>
      <c r="B3" s="9">
        <v>270</v>
      </c>
      <c r="C3" s="10" t="s">
        <v>4</v>
      </c>
      <c r="D3" s="9">
        <v>97</v>
      </c>
      <c r="E3" s="11">
        <f t="shared" ref="E3:E49" si="0">B3+D3</f>
        <v>367</v>
      </c>
      <c r="F3" s="11">
        <f t="shared" ref="F3:F49" si="1">B3</f>
        <v>270</v>
      </c>
      <c r="G3" s="11">
        <f t="shared" ref="G3:G49" si="2">B3-D3</f>
        <v>173</v>
      </c>
      <c r="H3" s="8" t="s">
        <v>11</v>
      </c>
      <c r="I3" s="12"/>
      <c r="J3" s="12"/>
      <c r="K3" s="12"/>
      <c r="L3" s="12"/>
      <c r="M3" s="12"/>
    </row>
    <row r="4" spans="1:13" ht="5.0999999999999996" customHeight="1" x14ac:dyDescent="0.3">
      <c r="A4" s="13" t="s">
        <v>12</v>
      </c>
      <c r="B4" s="14">
        <v>17240</v>
      </c>
      <c r="C4" s="15" t="s">
        <v>4</v>
      </c>
      <c r="D4" s="15">
        <v>340</v>
      </c>
      <c r="E4" s="16">
        <f t="shared" si="0"/>
        <v>17580</v>
      </c>
      <c r="F4" s="16">
        <f t="shared" si="1"/>
        <v>17240</v>
      </c>
      <c r="G4" s="16">
        <f t="shared" si="2"/>
        <v>16900</v>
      </c>
      <c r="H4" s="13" t="s">
        <v>13</v>
      </c>
      <c r="I4" s="12"/>
      <c r="J4" s="12"/>
      <c r="K4" s="12"/>
      <c r="L4" s="12"/>
      <c r="M4" s="12"/>
    </row>
    <row r="5" spans="1:13" ht="15.95" customHeight="1" x14ac:dyDescent="0.3">
      <c r="A5" s="8" t="s">
        <v>14</v>
      </c>
      <c r="B5" s="9">
        <v>390</v>
      </c>
      <c r="C5" s="10" t="s">
        <v>4</v>
      </c>
      <c r="D5" s="10">
        <v>136</v>
      </c>
      <c r="E5" s="11">
        <f t="shared" si="0"/>
        <v>526</v>
      </c>
      <c r="F5" s="11">
        <f t="shared" si="1"/>
        <v>390</v>
      </c>
      <c r="G5" s="11">
        <f t="shared" si="2"/>
        <v>254</v>
      </c>
      <c r="H5" s="8" t="s">
        <v>15</v>
      </c>
      <c r="I5" s="12" t="s">
        <v>16</v>
      </c>
      <c r="J5" s="12"/>
      <c r="K5" s="12"/>
      <c r="L5" s="12"/>
      <c r="M5" s="12"/>
    </row>
    <row r="6" spans="1:13" s="17" customFormat="1" ht="15.95" customHeight="1" x14ac:dyDescent="0.3">
      <c r="A6" s="8" t="s">
        <v>17</v>
      </c>
      <c r="B6" s="9">
        <v>280</v>
      </c>
      <c r="C6" s="10" t="s">
        <v>4</v>
      </c>
      <c r="D6" s="10">
        <v>136</v>
      </c>
      <c r="E6" s="11">
        <f>B6+D6</f>
        <v>416</v>
      </c>
      <c r="F6" s="11">
        <f>B6</f>
        <v>280</v>
      </c>
      <c r="G6" s="11">
        <f>B6-D6</f>
        <v>144</v>
      </c>
      <c r="H6" s="8" t="s">
        <v>18</v>
      </c>
      <c r="I6" s="12" t="s">
        <v>19</v>
      </c>
      <c r="J6" s="12"/>
      <c r="K6" s="12"/>
      <c r="L6" s="12"/>
      <c r="M6" s="12"/>
    </row>
    <row r="7" spans="1:13" ht="15.95" customHeight="1" x14ac:dyDescent="0.3">
      <c r="A7" s="8" t="s">
        <v>20</v>
      </c>
      <c r="B7" s="9">
        <v>190</v>
      </c>
      <c r="C7" s="10" t="s">
        <v>4</v>
      </c>
      <c r="D7" s="10">
        <v>110</v>
      </c>
      <c r="E7" s="11">
        <f t="shared" si="0"/>
        <v>300</v>
      </c>
      <c r="F7" s="11">
        <f t="shared" si="1"/>
        <v>190</v>
      </c>
      <c r="G7" s="11">
        <f t="shared" si="2"/>
        <v>80</v>
      </c>
      <c r="H7" s="8" t="s">
        <v>21</v>
      </c>
      <c r="I7" s="12"/>
      <c r="J7" s="12"/>
      <c r="K7" s="12"/>
      <c r="L7" s="12"/>
      <c r="M7" s="12"/>
    </row>
    <row r="8" spans="1:13" ht="15.95" customHeight="1" x14ac:dyDescent="0.3">
      <c r="A8" s="8" t="s">
        <v>22</v>
      </c>
      <c r="B8" s="9">
        <v>190</v>
      </c>
      <c r="C8" s="10" t="s">
        <v>4</v>
      </c>
      <c r="D8" s="10">
        <v>110</v>
      </c>
      <c r="E8" s="11">
        <f t="shared" si="0"/>
        <v>300</v>
      </c>
      <c r="F8" s="11">
        <f t="shared" si="1"/>
        <v>190</v>
      </c>
      <c r="G8" s="11">
        <f t="shared" si="2"/>
        <v>80</v>
      </c>
      <c r="H8" s="8" t="s">
        <v>23</v>
      </c>
      <c r="I8" s="12"/>
      <c r="J8" s="12"/>
      <c r="K8" s="12"/>
      <c r="L8" s="12"/>
      <c r="M8" s="12"/>
    </row>
    <row r="9" spans="1:13" ht="15.95" customHeight="1" x14ac:dyDescent="0.3">
      <c r="A9" s="8" t="s">
        <v>24</v>
      </c>
      <c r="B9" s="9">
        <v>250</v>
      </c>
      <c r="C9" s="10" t="s">
        <v>4</v>
      </c>
      <c r="D9" s="10">
        <v>114</v>
      </c>
      <c r="E9" s="11">
        <f t="shared" si="0"/>
        <v>364</v>
      </c>
      <c r="F9" s="11">
        <f t="shared" si="1"/>
        <v>250</v>
      </c>
      <c r="G9" s="11">
        <f t="shared" si="2"/>
        <v>136</v>
      </c>
      <c r="H9" s="8" t="s">
        <v>25</v>
      </c>
      <c r="I9" s="12"/>
      <c r="J9" s="12"/>
      <c r="K9" s="12"/>
      <c r="L9" s="12"/>
      <c r="M9" s="12"/>
    </row>
    <row r="10" spans="1:13" ht="15.95" customHeight="1" x14ac:dyDescent="0.3">
      <c r="A10" s="8" t="s">
        <v>26</v>
      </c>
      <c r="B10" s="9">
        <v>300</v>
      </c>
      <c r="C10" s="10" t="s">
        <v>4</v>
      </c>
      <c r="D10" s="18">
        <v>96</v>
      </c>
      <c r="E10" s="11">
        <f t="shared" si="0"/>
        <v>396</v>
      </c>
      <c r="F10" s="11">
        <f t="shared" si="1"/>
        <v>300</v>
      </c>
      <c r="G10" s="11">
        <f t="shared" si="2"/>
        <v>204</v>
      </c>
      <c r="H10" s="8" t="s">
        <v>27</v>
      </c>
      <c r="I10" s="12"/>
      <c r="J10" s="12"/>
      <c r="K10" s="12"/>
      <c r="L10" s="12"/>
      <c r="M10" s="12"/>
    </row>
    <row r="11" spans="1:13" ht="15.95" customHeight="1" x14ac:dyDescent="0.3">
      <c r="A11" s="8" t="s">
        <v>28</v>
      </c>
      <c r="B11" s="9">
        <v>285</v>
      </c>
      <c r="C11" s="10" t="s">
        <v>4</v>
      </c>
      <c r="D11" s="18">
        <v>116</v>
      </c>
      <c r="E11" s="11">
        <f t="shared" si="0"/>
        <v>401</v>
      </c>
      <c r="F11" s="11">
        <f t="shared" si="1"/>
        <v>285</v>
      </c>
      <c r="G11" s="11">
        <f t="shared" si="2"/>
        <v>169</v>
      </c>
      <c r="H11" s="8" t="s">
        <v>29</v>
      </c>
      <c r="I11" s="12"/>
      <c r="J11" s="12"/>
      <c r="K11" s="12"/>
      <c r="L11" s="12"/>
      <c r="M11" s="12"/>
    </row>
    <row r="12" spans="1:13" ht="15.95" customHeight="1" x14ac:dyDescent="0.3">
      <c r="A12" s="8" t="s">
        <v>30</v>
      </c>
      <c r="B12" s="9">
        <v>300</v>
      </c>
      <c r="C12" s="10" t="s">
        <v>4</v>
      </c>
      <c r="D12" s="18">
        <v>110</v>
      </c>
      <c r="E12" s="11">
        <f t="shared" si="0"/>
        <v>410</v>
      </c>
      <c r="F12" s="11">
        <f t="shared" si="1"/>
        <v>300</v>
      </c>
      <c r="G12" s="11">
        <f t="shared" si="2"/>
        <v>190</v>
      </c>
      <c r="H12" s="8" t="s">
        <v>31</v>
      </c>
      <c r="I12" s="12"/>
      <c r="J12" s="12"/>
      <c r="K12" s="12"/>
      <c r="L12" s="12"/>
      <c r="M12" s="12"/>
    </row>
    <row r="13" spans="1:13" s="17" customFormat="1" ht="15.95" customHeight="1" x14ac:dyDescent="0.3">
      <c r="A13" s="8" t="s">
        <v>32</v>
      </c>
      <c r="B13" s="9">
        <v>363</v>
      </c>
      <c r="C13" s="10" t="s">
        <v>4</v>
      </c>
      <c r="D13" s="18">
        <v>110</v>
      </c>
      <c r="E13" s="11">
        <f t="shared" si="0"/>
        <v>473</v>
      </c>
      <c r="F13" s="11">
        <f t="shared" si="1"/>
        <v>363</v>
      </c>
      <c r="G13" s="11">
        <f t="shared" si="2"/>
        <v>253</v>
      </c>
      <c r="H13" s="8" t="s">
        <v>33</v>
      </c>
      <c r="I13" s="12"/>
      <c r="J13" s="12"/>
      <c r="K13" s="12"/>
      <c r="L13" s="12"/>
      <c r="M13" s="12"/>
    </row>
    <row r="14" spans="1:13" s="17" customFormat="1" ht="15.95" customHeight="1" x14ac:dyDescent="0.3">
      <c r="A14" s="8" t="s">
        <v>34</v>
      </c>
      <c r="B14" s="9">
        <v>350</v>
      </c>
      <c r="C14" s="10" t="s">
        <v>4</v>
      </c>
      <c r="D14" s="18">
        <v>110</v>
      </c>
      <c r="E14" s="11">
        <f t="shared" si="0"/>
        <v>460</v>
      </c>
      <c r="F14" s="11">
        <f t="shared" si="1"/>
        <v>350</v>
      </c>
      <c r="G14" s="11">
        <f t="shared" si="2"/>
        <v>240</v>
      </c>
      <c r="H14" s="8" t="s">
        <v>35</v>
      </c>
      <c r="I14" s="12" t="s">
        <v>36</v>
      </c>
      <c r="J14" s="12"/>
      <c r="K14" s="12"/>
      <c r="L14" s="12"/>
      <c r="M14" s="12"/>
    </row>
    <row r="15" spans="1:13" ht="5.0999999999999996" customHeight="1" x14ac:dyDescent="0.3">
      <c r="A15" s="15" t="s">
        <v>37</v>
      </c>
      <c r="B15" s="14">
        <v>20135</v>
      </c>
      <c r="C15" s="15" t="s">
        <v>4</v>
      </c>
      <c r="D15" s="15">
        <v>400</v>
      </c>
      <c r="E15" s="14">
        <f t="shared" si="0"/>
        <v>20535</v>
      </c>
      <c r="F15" s="14">
        <f t="shared" si="1"/>
        <v>20135</v>
      </c>
      <c r="G15" s="14">
        <f t="shared" si="2"/>
        <v>19735</v>
      </c>
      <c r="H15" s="15" t="s">
        <v>13</v>
      </c>
      <c r="I15" s="12"/>
      <c r="J15" s="12"/>
      <c r="K15" s="12"/>
      <c r="L15" s="12"/>
      <c r="M15" s="12"/>
    </row>
    <row r="16" spans="1:13" ht="15.95" customHeight="1" x14ac:dyDescent="0.3">
      <c r="A16" s="8" t="s">
        <v>38</v>
      </c>
      <c r="B16" s="9">
        <v>415</v>
      </c>
      <c r="C16" s="10" t="s">
        <v>4</v>
      </c>
      <c r="D16" s="10">
        <v>158</v>
      </c>
      <c r="E16" s="11">
        <f t="shared" si="0"/>
        <v>573</v>
      </c>
      <c r="F16" s="11">
        <f t="shared" si="1"/>
        <v>415</v>
      </c>
      <c r="G16" s="11">
        <f t="shared" si="2"/>
        <v>257</v>
      </c>
      <c r="H16" s="8" t="s">
        <v>15</v>
      </c>
      <c r="I16" s="12" t="s">
        <v>39</v>
      </c>
      <c r="J16" s="12"/>
      <c r="K16" s="12"/>
      <c r="L16" s="12"/>
      <c r="M16" s="12"/>
    </row>
    <row r="17" spans="1:13" s="17" customFormat="1" ht="15.95" customHeight="1" x14ac:dyDescent="0.3">
      <c r="A17" s="8" t="s">
        <v>40</v>
      </c>
      <c r="B17" s="9">
        <v>320</v>
      </c>
      <c r="C17" s="10" t="s">
        <v>4</v>
      </c>
      <c r="D17" s="10">
        <v>158</v>
      </c>
      <c r="E17" s="11">
        <f>B17+D17</f>
        <v>478</v>
      </c>
      <c r="F17" s="11">
        <f t="shared" si="1"/>
        <v>320</v>
      </c>
      <c r="G17" s="11">
        <f>B17-D17</f>
        <v>162</v>
      </c>
      <c r="H17" s="8" t="s">
        <v>18</v>
      </c>
      <c r="I17" s="12" t="s">
        <v>41</v>
      </c>
      <c r="J17" s="12"/>
      <c r="K17" s="12"/>
      <c r="L17" s="12"/>
      <c r="M17" s="12"/>
    </row>
    <row r="18" spans="1:13" s="17" customFormat="1" ht="15.95" customHeight="1" x14ac:dyDescent="0.3">
      <c r="A18" s="8" t="s">
        <v>78</v>
      </c>
      <c r="B18" s="9">
        <v>300</v>
      </c>
      <c r="C18" s="10" t="s">
        <v>4</v>
      </c>
      <c r="D18" s="10">
        <v>120</v>
      </c>
      <c r="E18" s="11">
        <f t="shared" ref="E18" si="3">B18+D18</f>
        <v>420</v>
      </c>
      <c r="F18" s="11">
        <f t="shared" ref="F18" si="4">B18</f>
        <v>300</v>
      </c>
      <c r="G18" s="11">
        <f t="shared" ref="G18" si="5">B18-D18</f>
        <v>180</v>
      </c>
      <c r="H18" s="8" t="s">
        <v>21</v>
      </c>
      <c r="I18" s="12"/>
      <c r="J18" s="12"/>
      <c r="K18" s="12"/>
      <c r="L18" s="12"/>
      <c r="M18" s="12"/>
    </row>
    <row r="19" spans="1:13" ht="15.95" customHeight="1" x14ac:dyDescent="0.3">
      <c r="A19" s="8" t="s">
        <v>79</v>
      </c>
      <c r="B19" s="9">
        <v>300</v>
      </c>
      <c r="C19" s="10" t="s">
        <v>4</v>
      </c>
      <c r="D19" s="10">
        <v>120</v>
      </c>
      <c r="E19" s="11">
        <f t="shared" si="0"/>
        <v>420</v>
      </c>
      <c r="F19" s="11">
        <f t="shared" si="1"/>
        <v>300</v>
      </c>
      <c r="G19" s="11">
        <f t="shared" si="2"/>
        <v>180</v>
      </c>
      <c r="H19" s="8" t="s">
        <v>21</v>
      </c>
      <c r="I19" s="12"/>
      <c r="J19" s="12"/>
      <c r="K19" s="12"/>
      <c r="L19" s="12"/>
      <c r="M19" s="12"/>
    </row>
    <row r="20" spans="1:13" s="17" customFormat="1" ht="15.95" customHeight="1" x14ac:dyDescent="0.3">
      <c r="A20" s="8" t="s">
        <v>42</v>
      </c>
      <c r="B20" s="9">
        <v>300</v>
      </c>
      <c r="C20" s="10" t="s">
        <v>4</v>
      </c>
      <c r="D20" s="10">
        <v>130</v>
      </c>
      <c r="E20" s="11">
        <f t="shared" si="0"/>
        <v>430</v>
      </c>
      <c r="F20" s="11">
        <f t="shared" si="1"/>
        <v>300</v>
      </c>
      <c r="G20" s="11">
        <f t="shared" si="2"/>
        <v>170</v>
      </c>
      <c r="H20" s="8" t="s">
        <v>43</v>
      </c>
      <c r="I20" s="12" t="s">
        <v>44</v>
      </c>
      <c r="J20" s="12">
        <v>580</v>
      </c>
      <c r="K20" s="12">
        <v>450</v>
      </c>
      <c r="L20" s="12">
        <v>320</v>
      </c>
      <c r="M20" s="19" t="s">
        <v>45</v>
      </c>
    </row>
    <row r="21" spans="1:13" ht="15.95" customHeight="1" x14ac:dyDescent="0.3">
      <c r="A21" s="8" t="s">
        <v>46</v>
      </c>
      <c r="B21" s="9">
        <v>360</v>
      </c>
      <c r="C21" s="10" t="s">
        <v>47</v>
      </c>
      <c r="D21" s="10">
        <v>136</v>
      </c>
      <c r="E21" s="11">
        <v>496</v>
      </c>
      <c r="F21" s="11">
        <v>360</v>
      </c>
      <c r="G21" s="11">
        <v>224</v>
      </c>
      <c r="H21" s="8" t="s">
        <v>48</v>
      </c>
      <c r="I21" s="12"/>
      <c r="J21" s="12"/>
      <c r="K21" s="12"/>
      <c r="L21" s="12"/>
      <c r="M21" s="12"/>
    </row>
    <row r="22" spans="1:13" ht="15.95" customHeight="1" x14ac:dyDescent="0.3">
      <c r="A22" s="8" t="s">
        <v>49</v>
      </c>
      <c r="B22" s="9">
        <v>360</v>
      </c>
      <c r="C22" s="10" t="s">
        <v>4</v>
      </c>
      <c r="D22" s="10">
        <v>136</v>
      </c>
      <c r="E22" s="11">
        <f t="shared" si="0"/>
        <v>496</v>
      </c>
      <c r="F22" s="11">
        <f t="shared" si="1"/>
        <v>360</v>
      </c>
      <c r="G22" s="11">
        <f t="shared" si="2"/>
        <v>224</v>
      </c>
      <c r="H22" s="8" t="s">
        <v>11</v>
      </c>
      <c r="I22" s="12"/>
      <c r="J22" s="12"/>
      <c r="K22" s="12"/>
      <c r="L22" s="12"/>
      <c r="M22" s="12"/>
    </row>
    <row r="23" spans="1:13" ht="15.95" customHeight="1" x14ac:dyDescent="0.3">
      <c r="A23" s="8" t="s">
        <v>50</v>
      </c>
      <c r="B23" s="9">
        <v>340</v>
      </c>
      <c r="C23" s="10" t="s">
        <v>4</v>
      </c>
      <c r="D23" s="10">
        <v>136</v>
      </c>
      <c r="E23" s="11">
        <f t="shared" si="0"/>
        <v>476</v>
      </c>
      <c r="F23" s="11">
        <f t="shared" si="1"/>
        <v>340</v>
      </c>
      <c r="G23" s="11">
        <f t="shared" si="2"/>
        <v>204</v>
      </c>
      <c r="H23" s="8" t="s">
        <v>29</v>
      </c>
      <c r="I23" s="12"/>
      <c r="J23" s="12"/>
      <c r="K23" s="12"/>
      <c r="L23" s="12"/>
      <c r="M23" s="12"/>
    </row>
    <row r="24" spans="1:13" s="17" customFormat="1" ht="15.95" customHeight="1" x14ac:dyDescent="0.3">
      <c r="A24" s="8" t="s">
        <v>51</v>
      </c>
      <c r="B24" s="9">
        <v>420</v>
      </c>
      <c r="C24" s="10" t="s">
        <v>4</v>
      </c>
      <c r="D24" s="10">
        <v>120</v>
      </c>
      <c r="E24" s="11">
        <f t="shared" si="0"/>
        <v>540</v>
      </c>
      <c r="F24" s="11">
        <f>B24</f>
        <v>420</v>
      </c>
      <c r="G24" s="11">
        <f t="shared" si="2"/>
        <v>300</v>
      </c>
      <c r="H24" s="8" t="s">
        <v>33</v>
      </c>
      <c r="I24" s="12"/>
      <c r="J24" s="12"/>
      <c r="K24" s="12"/>
      <c r="L24" s="12"/>
      <c r="M24" s="12"/>
    </row>
    <row r="25" spans="1:13" s="17" customFormat="1" ht="15.95" customHeight="1" x14ac:dyDescent="0.3">
      <c r="A25" s="20" t="s">
        <v>52</v>
      </c>
      <c r="B25" s="21">
        <v>260</v>
      </c>
      <c r="C25" s="22" t="s">
        <v>4</v>
      </c>
      <c r="D25" s="22">
        <v>130</v>
      </c>
      <c r="E25" s="23">
        <f t="shared" si="0"/>
        <v>390</v>
      </c>
      <c r="F25" s="23">
        <f>B25</f>
        <v>260</v>
      </c>
      <c r="G25" s="23">
        <f t="shared" si="2"/>
        <v>130</v>
      </c>
      <c r="H25" s="20" t="s">
        <v>53</v>
      </c>
      <c r="I25" s="24" t="s">
        <v>54</v>
      </c>
      <c r="J25" s="12"/>
      <c r="K25" s="12"/>
      <c r="L25" s="12"/>
      <c r="M25" s="12"/>
    </row>
    <row r="26" spans="1:13" ht="5.0999999999999996" customHeight="1" x14ac:dyDescent="0.3">
      <c r="A26" s="13" t="s">
        <v>55</v>
      </c>
      <c r="B26" s="14">
        <v>22940</v>
      </c>
      <c r="C26" s="15" t="s">
        <v>4</v>
      </c>
      <c r="D26" s="15">
        <v>450</v>
      </c>
      <c r="E26" s="16">
        <f t="shared" si="0"/>
        <v>23390</v>
      </c>
      <c r="F26" s="16">
        <f t="shared" si="1"/>
        <v>22940</v>
      </c>
      <c r="G26" s="16">
        <f t="shared" si="2"/>
        <v>22490</v>
      </c>
      <c r="H26" s="13" t="s">
        <v>13</v>
      </c>
      <c r="I26" s="12"/>
      <c r="J26" s="12"/>
      <c r="K26" s="12"/>
      <c r="L26" s="12"/>
      <c r="M26" s="12"/>
    </row>
    <row r="27" spans="1:13" ht="15.95" customHeight="1" x14ac:dyDescent="0.3">
      <c r="A27" s="8" t="s">
        <v>56</v>
      </c>
      <c r="B27" s="9">
        <v>450</v>
      </c>
      <c r="C27" s="10" t="s">
        <v>4</v>
      </c>
      <c r="D27" s="18">
        <v>188</v>
      </c>
      <c r="E27" s="11">
        <f t="shared" si="0"/>
        <v>638</v>
      </c>
      <c r="F27" s="11">
        <f t="shared" si="1"/>
        <v>450</v>
      </c>
      <c r="G27" s="11">
        <f t="shared" si="2"/>
        <v>262</v>
      </c>
      <c r="H27" s="8" t="s">
        <v>15</v>
      </c>
      <c r="I27" s="12" t="s">
        <v>39</v>
      </c>
      <c r="J27" s="12"/>
      <c r="K27" s="12"/>
      <c r="L27" s="12"/>
      <c r="M27" s="12"/>
    </row>
    <row r="28" spans="1:13" s="17" customFormat="1" ht="15.95" customHeight="1" x14ac:dyDescent="0.3">
      <c r="A28" s="8" t="s">
        <v>57</v>
      </c>
      <c r="B28" s="9">
        <v>450</v>
      </c>
      <c r="C28" s="10" t="s">
        <v>4</v>
      </c>
      <c r="D28" s="18">
        <v>188</v>
      </c>
      <c r="E28" s="11">
        <f t="shared" si="0"/>
        <v>638</v>
      </c>
      <c r="F28" s="11">
        <f t="shared" si="1"/>
        <v>450</v>
      </c>
      <c r="G28" s="11">
        <f t="shared" si="2"/>
        <v>262</v>
      </c>
      <c r="H28" s="8" t="s">
        <v>18</v>
      </c>
      <c r="I28" s="12" t="s">
        <v>41</v>
      </c>
      <c r="J28" s="12"/>
      <c r="K28" s="12"/>
      <c r="L28" s="12"/>
      <c r="M28" s="12"/>
    </row>
    <row r="29" spans="1:13" ht="15.95" customHeight="1" x14ac:dyDescent="0.3">
      <c r="A29" s="8" t="s">
        <v>80</v>
      </c>
      <c r="B29" s="9">
        <v>270</v>
      </c>
      <c r="C29" s="10" t="s">
        <v>4</v>
      </c>
      <c r="D29" s="10">
        <v>155</v>
      </c>
      <c r="E29" s="11">
        <f t="shared" si="0"/>
        <v>425</v>
      </c>
      <c r="F29" s="11">
        <f t="shared" si="1"/>
        <v>270</v>
      </c>
      <c r="G29" s="11">
        <f t="shared" si="2"/>
        <v>115</v>
      </c>
      <c r="H29" s="8" t="s">
        <v>21</v>
      </c>
      <c r="I29" s="12"/>
      <c r="J29" s="12"/>
      <c r="K29" s="12"/>
      <c r="L29" s="12"/>
      <c r="M29" s="12"/>
    </row>
    <row r="30" spans="1:13" ht="15.95" customHeight="1" x14ac:dyDescent="0.3">
      <c r="A30" s="8" t="s">
        <v>81</v>
      </c>
      <c r="B30" s="9">
        <v>270</v>
      </c>
      <c r="C30" s="10" t="s">
        <v>4</v>
      </c>
      <c r="D30" s="10">
        <v>155</v>
      </c>
      <c r="E30" s="11">
        <f t="shared" ref="E30" si="6">B30+D30</f>
        <v>425</v>
      </c>
      <c r="F30" s="11">
        <f t="shared" ref="F30" si="7">B30</f>
        <v>270</v>
      </c>
      <c r="G30" s="11">
        <f t="shared" ref="G30" si="8">B30-D30</f>
        <v>115</v>
      </c>
      <c r="H30" s="8" t="s">
        <v>21</v>
      </c>
      <c r="I30" s="12"/>
      <c r="J30" s="12"/>
      <c r="K30" s="12"/>
      <c r="L30" s="12"/>
      <c r="M30" s="12"/>
    </row>
    <row r="31" spans="1:13" s="17" customFormat="1" ht="15.95" customHeight="1" x14ac:dyDescent="0.3">
      <c r="A31" s="8" t="s">
        <v>58</v>
      </c>
      <c r="B31" s="9">
        <v>270</v>
      </c>
      <c r="C31" s="10" t="s">
        <v>4</v>
      </c>
      <c r="D31" s="10">
        <v>155</v>
      </c>
      <c r="E31" s="11">
        <f t="shared" si="0"/>
        <v>425</v>
      </c>
      <c r="F31" s="11">
        <f t="shared" si="1"/>
        <v>270</v>
      </c>
      <c r="G31" s="11">
        <f t="shared" si="2"/>
        <v>115</v>
      </c>
      <c r="H31" s="8" t="s">
        <v>43</v>
      </c>
      <c r="I31" s="12" t="s">
        <v>44</v>
      </c>
      <c r="J31" s="12">
        <v>545</v>
      </c>
      <c r="K31" s="12">
        <v>390</v>
      </c>
      <c r="L31" s="12">
        <v>235</v>
      </c>
      <c r="M31" s="19" t="s">
        <v>45</v>
      </c>
    </row>
    <row r="32" spans="1:13" ht="15.95" customHeight="1" x14ac:dyDescent="0.3">
      <c r="A32" s="8" t="s">
        <v>59</v>
      </c>
      <c r="B32" s="9">
        <v>432</v>
      </c>
      <c r="C32" s="10" t="s">
        <v>4</v>
      </c>
      <c r="D32" s="18">
        <v>162</v>
      </c>
      <c r="E32" s="11">
        <f t="shared" si="0"/>
        <v>594</v>
      </c>
      <c r="F32" s="11">
        <f t="shared" si="1"/>
        <v>432</v>
      </c>
      <c r="G32" s="11">
        <f t="shared" si="2"/>
        <v>270</v>
      </c>
      <c r="H32" s="8" t="s">
        <v>11</v>
      </c>
      <c r="I32" s="12"/>
      <c r="J32" s="12"/>
      <c r="K32" s="12"/>
      <c r="L32" s="12"/>
      <c r="M32" s="12"/>
    </row>
    <row r="33" spans="1:13" ht="15.95" customHeight="1" x14ac:dyDescent="0.3">
      <c r="A33" s="8" t="s">
        <v>60</v>
      </c>
      <c r="B33" s="9">
        <v>410</v>
      </c>
      <c r="C33" s="10" t="s">
        <v>4</v>
      </c>
      <c r="D33" s="10">
        <v>162</v>
      </c>
      <c r="E33" s="11">
        <f t="shared" si="0"/>
        <v>572</v>
      </c>
      <c r="F33" s="11">
        <f t="shared" si="1"/>
        <v>410</v>
      </c>
      <c r="G33" s="11">
        <f t="shared" si="2"/>
        <v>248</v>
      </c>
      <c r="H33" s="8" t="s">
        <v>29</v>
      </c>
      <c r="I33" s="12"/>
      <c r="J33" s="12"/>
      <c r="K33" s="12"/>
      <c r="L33" s="12"/>
      <c r="M33" s="12"/>
    </row>
    <row r="34" spans="1:13" s="17" customFormat="1" ht="15.95" customHeight="1" x14ac:dyDescent="0.3">
      <c r="A34" s="8" t="s">
        <v>61</v>
      </c>
      <c r="B34" s="9">
        <v>580</v>
      </c>
      <c r="C34" s="10" t="s">
        <v>4</v>
      </c>
      <c r="D34" s="10">
        <v>155</v>
      </c>
      <c r="E34" s="11">
        <f t="shared" si="0"/>
        <v>735</v>
      </c>
      <c r="F34" s="11">
        <f t="shared" si="1"/>
        <v>580</v>
      </c>
      <c r="G34" s="11">
        <f t="shared" si="2"/>
        <v>425</v>
      </c>
      <c r="H34" s="8" t="s">
        <v>33</v>
      </c>
      <c r="I34" s="12"/>
      <c r="J34" s="12"/>
      <c r="K34" s="12"/>
      <c r="L34" s="12"/>
      <c r="M34" s="12"/>
    </row>
    <row r="35" spans="1:13" s="17" customFormat="1" ht="15.95" customHeight="1" x14ac:dyDescent="0.3">
      <c r="A35" s="8" t="s">
        <v>62</v>
      </c>
      <c r="B35" s="9">
        <v>380</v>
      </c>
      <c r="C35" s="10" t="s">
        <v>4</v>
      </c>
      <c r="D35" s="10">
        <v>140</v>
      </c>
      <c r="E35" s="11">
        <f t="shared" si="0"/>
        <v>520</v>
      </c>
      <c r="F35" s="11">
        <f t="shared" si="1"/>
        <v>380</v>
      </c>
      <c r="G35" s="11">
        <f t="shared" si="2"/>
        <v>240</v>
      </c>
      <c r="H35" s="8" t="s">
        <v>35</v>
      </c>
      <c r="I35" s="12" t="s">
        <v>36</v>
      </c>
      <c r="J35" s="12"/>
      <c r="K35" s="12"/>
      <c r="L35" s="12"/>
      <c r="M35" s="12"/>
    </row>
    <row r="36" spans="1:13" ht="5.0999999999999996" customHeight="1" x14ac:dyDescent="0.3">
      <c r="A36" s="13" t="s">
        <v>63</v>
      </c>
      <c r="B36" s="14">
        <v>26725</v>
      </c>
      <c r="C36" s="15" t="s">
        <v>4</v>
      </c>
      <c r="D36" s="15">
        <v>520</v>
      </c>
      <c r="E36" s="16">
        <f t="shared" si="0"/>
        <v>27245</v>
      </c>
      <c r="F36" s="16">
        <f t="shared" si="1"/>
        <v>26725</v>
      </c>
      <c r="G36" s="16">
        <f t="shared" si="2"/>
        <v>26205</v>
      </c>
      <c r="H36" s="13" t="s">
        <v>13</v>
      </c>
      <c r="I36" s="12"/>
      <c r="J36" s="12"/>
      <c r="K36" s="12"/>
      <c r="L36" s="12"/>
      <c r="M36" s="12"/>
    </row>
    <row r="37" spans="1:13" s="17" customFormat="1" ht="15.95" customHeight="1" x14ac:dyDescent="0.3">
      <c r="A37" s="8" t="s">
        <v>64</v>
      </c>
      <c r="B37" s="9">
        <v>530</v>
      </c>
      <c r="C37" s="10" t="s">
        <v>4</v>
      </c>
      <c r="D37" s="10">
        <v>170</v>
      </c>
      <c r="E37" s="11">
        <f t="shared" si="0"/>
        <v>700</v>
      </c>
      <c r="F37" s="11">
        <f t="shared" si="1"/>
        <v>530</v>
      </c>
      <c r="G37" s="11">
        <f t="shared" si="2"/>
        <v>360</v>
      </c>
      <c r="H37" s="8" t="s">
        <v>18</v>
      </c>
      <c r="I37" s="12" t="s">
        <v>16</v>
      </c>
      <c r="J37" s="12"/>
      <c r="K37" s="12"/>
      <c r="L37" s="12"/>
      <c r="M37" s="12"/>
    </row>
    <row r="38" spans="1:13" ht="15.95" customHeight="1" x14ac:dyDescent="0.3">
      <c r="A38" s="8" t="s">
        <v>83</v>
      </c>
      <c r="B38" s="9">
        <v>400</v>
      </c>
      <c r="C38" s="10" t="s">
        <v>4</v>
      </c>
      <c r="D38" s="10">
        <v>178</v>
      </c>
      <c r="E38" s="11">
        <f t="shared" si="0"/>
        <v>578</v>
      </c>
      <c r="F38" s="11">
        <f t="shared" si="1"/>
        <v>400</v>
      </c>
      <c r="G38" s="11">
        <f t="shared" si="2"/>
        <v>222</v>
      </c>
      <c r="H38" s="8" t="s">
        <v>21</v>
      </c>
      <c r="I38" s="12"/>
      <c r="J38" s="12"/>
      <c r="K38" s="12"/>
      <c r="L38" s="12"/>
      <c r="M38" s="12"/>
    </row>
    <row r="39" spans="1:13" ht="15.95" customHeight="1" x14ac:dyDescent="0.3">
      <c r="A39" s="8" t="s">
        <v>82</v>
      </c>
      <c r="B39" s="9">
        <v>400</v>
      </c>
      <c r="C39" s="10" t="s">
        <v>4</v>
      </c>
      <c r="D39" s="10">
        <v>178</v>
      </c>
      <c r="E39" s="11">
        <f t="shared" ref="E39" si="9">B39+D39</f>
        <v>578</v>
      </c>
      <c r="F39" s="11">
        <f t="shared" ref="F39" si="10">B39</f>
        <v>400</v>
      </c>
      <c r="G39" s="11">
        <f t="shared" ref="G39" si="11">B39-D39</f>
        <v>222</v>
      </c>
      <c r="H39" s="8" t="s">
        <v>21</v>
      </c>
      <c r="I39" s="12"/>
      <c r="J39" s="12"/>
      <c r="K39" s="12"/>
      <c r="L39" s="12"/>
      <c r="M39" s="12"/>
    </row>
    <row r="40" spans="1:13" ht="15.95" customHeight="1" x14ac:dyDescent="0.3">
      <c r="A40" s="8" t="s">
        <v>65</v>
      </c>
      <c r="B40" s="9">
        <v>400</v>
      </c>
      <c r="C40" s="10" t="s">
        <v>4</v>
      </c>
      <c r="D40" s="10">
        <v>178</v>
      </c>
      <c r="E40" s="11">
        <f t="shared" si="0"/>
        <v>578</v>
      </c>
      <c r="F40" s="11">
        <f t="shared" si="1"/>
        <v>400</v>
      </c>
      <c r="G40" s="11">
        <f t="shared" si="2"/>
        <v>222</v>
      </c>
      <c r="H40" s="8" t="s">
        <v>43</v>
      </c>
      <c r="I40" s="12"/>
      <c r="J40" s="12"/>
      <c r="K40" s="12"/>
      <c r="L40" s="12"/>
      <c r="M40" s="12"/>
    </row>
    <row r="41" spans="1:13" ht="15.95" customHeight="1" x14ac:dyDescent="0.3">
      <c r="A41" s="8" t="s">
        <v>66</v>
      </c>
      <c r="B41" s="9">
        <v>400</v>
      </c>
      <c r="C41" s="10" t="s">
        <v>4</v>
      </c>
      <c r="D41" s="10">
        <v>178</v>
      </c>
      <c r="E41" s="11">
        <f t="shared" si="0"/>
        <v>578</v>
      </c>
      <c r="F41" s="11">
        <f t="shared" si="1"/>
        <v>400</v>
      </c>
      <c r="G41" s="11">
        <f t="shared" si="2"/>
        <v>222</v>
      </c>
      <c r="H41" s="8" t="s">
        <v>11</v>
      </c>
      <c r="I41" s="12"/>
      <c r="J41" s="12"/>
      <c r="K41" s="12"/>
      <c r="L41" s="12"/>
      <c r="M41" s="12"/>
    </row>
    <row r="42" spans="1:13" ht="15.95" customHeight="1" x14ac:dyDescent="0.3">
      <c r="A42" s="20" t="s">
        <v>67</v>
      </c>
      <c r="B42" s="21">
        <v>450</v>
      </c>
      <c r="C42" s="22" t="s">
        <v>4</v>
      </c>
      <c r="D42" s="22">
        <v>179</v>
      </c>
      <c r="E42" s="23">
        <f t="shared" si="0"/>
        <v>629</v>
      </c>
      <c r="F42" s="23">
        <f t="shared" si="1"/>
        <v>450</v>
      </c>
      <c r="G42" s="23">
        <f t="shared" si="2"/>
        <v>271</v>
      </c>
      <c r="H42" s="20" t="s">
        <v>68</v>
      </c>
      <c r="I42" s="24" t="s">
        <v>69</v>
      </c>
      <c r="J42" s="12"/>
      <c r="K42" s="12"/>
      <c r="L42" s="12"/>
      <c r="M42" s="12"/>
    </row>
    <row r="43" spans="1:13" ht="5.0999999999999996" customHeight="1" x14ac:dyDescent="0.3">
      <c r="A43" s="13" t="s">
        <v>70</v>
      </c>
      <c r="B43" s="14">
        <v>29700</v>
      </c>
      <c r="C43" s="15" t="s">
        <v>4</v>
      </c>
      <c r="D43" s="15">
        <v>580</v>
      </c>
      <c r="E43" s="16">
        <f t="shared" si="0"/>
        <v>30280</v>
      </c>
      <c r="F43" s="16">
        <f t="shared" si="1"/>
        <v>29700</v>
      </c>
      <c r="G43" s="16">
        <f t="shared" si="2"/>
        <v>29120</v>
      </c>
      <c r="H43" s="13" t="s">
        <v>13</v>
      </c>
      <c r="I43" s="12"/>
      <c r="J43" s="12"/>
      <c r="K43" s="12"/>
      <c r="L43" s="12"/>
      <c r="M43" s="12"/>
    </row>
    <row r="44" spans="1:13" s="17" customFormat="1" ht="15.95" customHeight="1" x14ac:dyDescent="0.3">
      <c r="A44" s="8" t="s">
        <v>71</v>
      </c>
      <c r="B44" s="9">
        <v>560</v>
      </c>
      <c r="C44" s="10" t="s">
        <v>4</v>
      </c>
      <c r="D44" s="10">
        <v>180</v>
      </c>
      <c r="E44" s="11">
        <f t="shared" si="0"/>
        <v>740</v>
      </c>
      <c r="F44" s="11">
        <f t="shared" si="1"/>
        <v>560</v>
      </c>
      <c r="G44" s="11">
        <f t="shared" si="2"/>
        <v>380</v>
      </c>
      <c r="H44" s="8" t="s">
        <v>18</v>
      </c>
      <c r="I44" s="12" t="s">
        <v>72</v>
      </c>
      <c r="J44" s="12"/>
      <c r="K44" s="12"/>
      <c r="L44" s="12"/>
      <c r="M44" s="12"/>
    </row>
    <row r="45" spans="1:13" ht="15.95" customHeight="1" x14ac:dyDescent="0.3">
      <c r="A45" s="8" t="s">
        <v>84</v>
      </c>
      <c r="B45" s="9">
        <v>510</v>
      </c>
      <c r="C45" s="10" t="s">
        <v>4</v>
      </c>
      <c r="D45" s="10">
        <v>198</v>
      </c>
      <c r="E45" s="11">
        <f t="shared" si="0"/>
        <v>708</v>
      </c>
      <c r="F45" s="11">
        <f t="shared" si="1"/>
        <v>510</v>
      </c>
      <c r="G45" s="11">
        <f t="shared" si="2"/>
        <v>312</v>
      </c>
      <c r="H45" s="8" t="s">
        <v>21</v>
      </c>
      <c r="I45" s="12"/>
      <c r="J45" s="12"/>
      <c r="K45" s="12"/>
      <c r="L45" s="12"/>
      <c r="M45" s="12"/>
    </row>
    <row r="46" spans="1:13" ht="15.95" customHeight="1" x14ac:dyDescent="0.3">
      <c r="A46" s="8" t="s">
        <v>85</v>
      </c>
      <c r="B46" s="9">
        <v>510</v>
      </c>
      <c r="C46" s="10" t="s">
        <v>4</v>
      </c>
      <c r="D46" s="10">
        <v>198</v>
      </c>
      <c r="E46" s="11">
        <f t="shared" ref="E46" si="12">B46+D46</f>
        <v>708</v>
      </c>
      <c r="F46" s="11">
        <f t="shared" ref="F46" si="13">B46</f>
        <v>510</v>
      </c>
      <c r="G46" s="11">
        <f t="shared" ref="G46" si="14">B46-D46</f>
        <v>312</v>
      </c>
      <c r="H46" s="8" t="s">
        <v>21</v>
      </c>
      <c r="I46" s="12"/>
      <c r="J46" s="12"/>
      <c r="K46" s="12"/>
      <c r="L46" s="12"/>
      <c r="M46" s="12"/>
    </row>
    <row r="47" spans="1:13" ht="15.95" customHeight="1" x14ac:dyDescent="0.3">
      <c r="A47" s="8" t="s">
        <v>73</v>
      </c>
      <c r="B47" s="9">
        <v>510</v>
      </c>
      <c r="C47" s="10" t="s">
        <v>4</v>
      </c>
      <c r="D47" s="10">
        <v>198</v>
      </c>
      <c r="E47" s="11">
        <f t="shared" si="0"/>
        <v>708</v>
      </c>
      <c r="F47" s="11">
        <f t="shared" si="1"/>
        <v>510</v>
      </c>
      <c r="G47" s="11">
        <f t="shared" si="2"/>
        <v>312</v>
      </c>
      <c r="H47" s="8" t="s">
        <v>43</v>
      </c>
      <c r="I47" s="12"/>
      <c r="J47" s="12"/>
      <c r="K47" s="12"/>
      <c r="L47" s="12"/>
      <c r="M47" s="12"/>
    </row>
    <row r="48" spans="1:13" ht="15.95" customHeight="1" x14ac:dyDescent="0.3">
      <c r="A48" s="25" t="s">
        <v>74</v>
      </c>
      <c r="B48" s="7">
        <v>510</v>
      </c>
      <c r="C48" s="6" t="s">
        <v>4</v>
      </c>
      <c r="D48" s="6">
        <v>198</v>
      </c>
      <c r="E48" s="26">
        <f t="shared" si="0"/>
        <v>708</v>
      </c>
      <c r="F48" s="26">
        <f t="shared" si="1"/>
        <v>510</v>
      </c>
      <c r="G48" s="26">
        <f t="shared" si="2"/>
        <v>312</v>
      </c>
      <c r="H48" s="25" t="s">
        <v>75</v>
      </c>
    </row>
    <row r="49" spans="1:9" x14ac:dyDescent="0.3">
      <c r="A49" s="20" t="s">
        <v>76</v>
      </c>
      <c r="B49" s="21">
        <v>572</v>
      </c>
      <c r="C49" s="22" t="s">
        <v>4</v>
      </c>
      <c r="D49" s="22">
        <v>202</v>
      </c>
      <c r="E49" s="23">
        <f t="shared" si="0"/>
        <v>774</v>
      </c>
      <c r="F49" s="23">
        <f t="shared" si="1"/>
        <v>572</v>
      </c>
      <c r="G49" s="23">
        <f t="shared" si="2"/>
        <v>370</v>
      </c>
      <c r="H49" s="20" t="s">
        <v>77</v>
      </c>
      <c r="I49" s="24" t="s">
        <v>69</v>
      </c>
    </row>
  </sheetData>
  <phoneticPr fontId="2" type="noConversion"/>
  <pageMargins left="0.7" right="0.7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감액량_221128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권도형/책임/세방전지</dc:creator>
  <cp:lastModifiedBy>권도형/책임/세방전지</cp:lastModifiedBy>
  <dcterms:created xsi:type="dcterms:W3CDTF">2026-05-22T02:17:11Z</dcterms:created>
  <dcterms:modified xsi:type="dcterms:W3CDTF">2026-07-09T23:43:35Z</dcterms:modified>
</cp:coreProperties>
</file>